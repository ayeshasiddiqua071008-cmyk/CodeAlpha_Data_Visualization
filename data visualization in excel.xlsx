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D0DB14004F540F/Attachments/Documents/"/>
    </mc:Choice>
  </mc:AlternateContent>
  <xr:revisionPtr revIDLastSave="0" documentId="8_{4BFA4CFD-0C26-438C-8D7B-6107862AB58F}" xr6:coauthVersionLast="47" xr6:coauthVersionMax="47" xr10:uidLastSave="{00000000-0000-0000-0000-000000000000}"/>
  <bookViews>
    <workbookView xWindow="2928" yWindow="2928" windowWidth="17280" windowHeight="8880" activeTab="1" xr2:uid="{06BF444D-4B85-42C4-BCF7-5649216203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20" i="2"/>
  <c r="B19" i="2"/>
  <c r="B14" i="1"/>
  <c r="B18" i="1"/>
  <c r="B16" i="1"/>
  <c r="D18" i="1"/>
  <c r="D16" i="1"/>
  <c r="D14" i="1"/>
  <c r="C18" i="1"/>
  <c r="C16" i="1"/>
  <c r="C14" i="1"/>
</calcChain>
</file>

<file path=xl/sharedStrings.xml><?xml version="1.0" encoding="utf-8"?>
<sst xmlns="http://schemas.openxmlformats.org/spreadsheetml/2006/main" count="50" uniqueCount="49">
  <si>
    <t>Student</t>
  </si>
  <si>
    <t>Math</t>
  </si>
  <si>
    <t>Science</t>
  </si>
  <si>
    <t>English</t>
  </si>
  <si>
    <t>Aisha</t>
  </si>
  <si>
    <t>Rahul</t>
  </si>
  <si>
    <t>Priya</t>
  </si>
  <si>
    <t>Arjun</t>
  </si>
  <si>
    <t>Sneha</t>
  </si>
  <si>
    <t>Kiran</t>
  </si>
  <si>
    <t>Meena</t>
  </si>
  <si>
    <t>Ravi</t>
  </si>
  <si>
    <t>Pooja</t>
  </si>
  <si>
    <t>Vijay</t>
  </si>
  <si>
    <t>lowest maths</t>
  </si>
  <si>
    <t>average of english</t>
  </si>
  <si>
    <t>average of science</t>
  </si>
  <si>
    <t>highest science</t>
  </si>
  <si>
    <t>lowest science</t>
  </si>
  <si>
    <t>lowest english</t>
  </si>
  <si>
    <t>highest english</t>
  </si>
  <si>
    <t>average of maths</t>
  </si>
  <si>
    <t>highest maths</t>
  </si>
  <si>
    <t>OBSERVATIONS</t>
  </si>
  <si>
    <t>highest maths =95</t>
  </si>
  <si>
    <t>highest english=95</t>
  </si>
  <si>
    <t>highest science=90</t>
  </si>
  <si>
    <t>english has a highest average score</t>
  </si>
  <si>
    <t>students are above 70 only</t>
  </si>
  <si>
    <t>students performed brilliant</t>
  </si>
  <si>
    <t>Priya and Meena achieved the highest overall scores. Most students scored between 70 and 90 marks. English and Mathematics showed strong performance across the class.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</si>
  <si>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</si>
  <si>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</si>
  <si>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</si>
  <si>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</si>
  <si>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</si>
  <si>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</si>
  <si>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</si>
  <si>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</si>
  <si>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</si>
  <si>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</si>
  <si>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</si>
  <si>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</si>
  <si>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</si>
  <si>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</si>
  <si>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Average Sales = </t>
  </si>
  <si>
    <t xml:space="preserve">Total Sales = </t>
  </si>
  <si>
    <t xml:space="preserve">Highest Sales = </t>
  </si>
  <si>
    <t xml:space="preserve">Lowest Sales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</si>
</sst>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Math</a:t>
            </a:r>
            <a:r>
              <a:rPr lang="en-US" baseline="0"/>
              <a:t> Marks Distrubution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1161893869412"/>
          <c:y val="0.12941468253968255"/>
          <c:w val="0.65297841610580798"/>
          <c:h val="0.69573295525559309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98-4A08-932E-51A94005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98-4A08-932E-51A940059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98-4A08-932E-51A940059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98-4A08-932E-51A940059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98-4A08-932E-51A9400598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98-4A08-932E-51A9400598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98-4A08-932E-51A9400598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98-4A08-932E-51A9400598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98-4A08-932E-51A9400598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498-4A08-932E-51A94005983B}"/>
              </c:ext>
            </c:extLst>
          </c:dPt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85</c:v>
                </c:pt>
                <c:pt idx="1">
                  <c:v>70</c:v>
                </c:pt>
                <c:pt idx="2">
                  <c:v>92</c:v>
                </c:pt>
                <c:pt idx="3">
                  <c:v>60</c:v>
                </c:pt>
                <c:pt idx="4">
                  <c:v>80</c:v>
                </c:pt>
                <c:pt idx="5">
                  <c:v>75</c:v>
                </c:pt>
                <c:pt idx="6">
                  <c:v>95</c:v>
                </c:pt>
                <c:pt idx="7">
                  <c:v>68</c:v>
                </c:pt>
                <c:pt idx="8">
                  <c:v>88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D-4B44-8809-62D0FE2C238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498-4A08-932E-51A94005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498-4A08-932E-51A940059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498-4A08-932E-51A940059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498-4A08-932E-51A940059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498-4A08-932E-51A9400598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498-4A08-932E-51A9400598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498-4A08-932E-51A9400598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498-4A08-932E-51A9400598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498-4A08-932E-51A9400598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498-4A08-932E-51A94005983B}"/>
              </c:ext>
            </c:extLst>
          </c:dPt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88</c:v>
                </c:pt>
                <c:pt idx="3">
                  <c:v>72</c:v>
                </c:pt>
                <c:pt idx="4">
                  <c:v>85</c:v>
                </c:pt>
                <c:pt idx="5">
                  <c:v>70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D-4B44-8809-62D0FE2C238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498-4A08-932E-51A94005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498-4A08-932E-51A940059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498-4A08-932E-51A940059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498-4A08-932E-51A940059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498-4A08-932E-51A9400598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498-4A08-932E-51A9400598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498-4A08-932E-51A9400598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498-4A08-932E-51A9400598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498-4A08-932E-51A9400598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498-4A08-932E-51A94005983B}"/>
              </c:ext>
            </c:extLst>
          </c:dPt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90</c:v>
                </c:pt>
                <c:pt idx="1">
                  <c:v>75</c:v>
                </c:pt>
                <c:pt idx="2">
                  <c:v>95</c:v>
                </c:pt>
                <c:pt idx="3">
                  <c:v>68</c:v>
                </c:pt>
                <c:pt idx="4">
                  <c:v>82</c:v>
                </c:pt>
                <c:pt idx="5">
                  <c:v>78</c:v>
                </c:pt>
                <c:pt idx="6">
                  <c:v>93</c:v>
                </c:pt>
                <c:pt idx="7">
                  <c:v>70</c:v>
                </c:pt>
                <c:pt idx="8">
                  <c:v>86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ED-4B44-8809-62D0FE2C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Students Performance Comparison</a:t>
            </a:r>
            <a:endParaRPr lang="en-IN"/>
          </a:p>
        </c:rich>
      </c:tx>
      <c:layout>
        <c:manualLayout>
          <c:xMode val="edge"/>
          <c:yMode val="edge"/>
          <c:x val="0.1212508475983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5851495352249249E-2"/>
          <c:y val="0.13004629629629633"/>
          <c:w val="0.87256887860003962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85</c:v>
                </c:pt>
                <c:pt idx="1">
                  <c:v>70</c:v>
                </c:pt>
                <c:pt idx="2">
                  <c:v>92</c:v>
                </c:pt>
                <c:pt idx="3">
                  <c:v>60</c:v>
                </c:pt>
                <c:pt idx="4">
                  <c:v>80</c:v>
                </c:pt>
                <c:pt idx="5">
                  <c:v>75</c:v>
                </c:pt>
                <c:pt idx="6">
                  <c:v>95</c:v>
                </c:pt>
                <c:pt idx="7">
                  <c:v>68</c:v>
                </c:pt>
                <c:pt idx="8">
                  <c:v>88</c:v>
                </c:pt>
                <c:pt idx="9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A-47FE-86B7-45459BB7CE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88</c:v>
                </c:pt>
                <c:pt idx="3">
                  <c:v>72</c:v>
                </c:pt>
                <c:pt idx="4">
                  <c:v>85</c:v>
                </c:pt>
                <c:pt idx="5">
                  <c:v>70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A-47FE-86B7-45459BB7CE6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90</c:v>
                </c:pt>
                <c:pt idx="1">
                  <c:v>75</c:v>
                </c:pt>
                <c:pt idx="2">
                  <c:v>95</c:v>
                </c:pt>
                <c:pt idx="3">
                  <c:v>68</c:v>
                </c:pt>
                <c:pt idx="4">
                  <c:v>82</c:v>
                </c:pt>
                <c:pt idx="5">
                  <c:v>78</c:v>
                </c:pt>
                <c:pt idx="6">
                  <c:v>93</c:v>
                </c:pt>
                <c:pt idx="7">
                  <c:v>70</c:v>
                </c:pt>
                <c:pt idx="8">
                  <c:v>86</c:v>
                </c:pt>
                <c:pt idx="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8A-47FE-86B7-45459BB7C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93007"/>
        <c:axId val="127708367"/>
      </c:lineChart>
      <c:catAx>
        <c:axId val="12769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08367"/>
        <c:crosses val="autoZero"/>
        <c:auto val="1"/>
        <c:lblAlgn val="ctr"/>
        <c:lblOffset val="100"/>
        <c:noMultiLvlLbl val="0"/>
      </c:catAx>
      <c:valAx>
        <c:axId val="12770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9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 wise marks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85</c:v>
                </c:pt>
                <c:pt idx="1">
                  <c:v>70</c:v>
                </c:pt>
                <c:pt idx="2">
                  <c:v>92</c:v>
                </c:pt>
                <c:pt idx="3">
                  <c:v>60</c:v>
                </c:pt>
                <c:pt idx="4">
                  <c:v>80</c:v>
                </c:pt>
                <c:pt idx="5">
                  <c:v>75</c:v>
                </c:pt>
                <c:pt idx="6">
                  <c:v>95</c:v>
                </c:pt>
                <c:pt idx="7">
                  <c:v>68</c:v>
                </c:pt>
                <c:pt idx="8">
                  <c:v>88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C-4918-892E-E0FD3DE16DF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88</c:v>
                </c:pt>
                <c:pt idx="3">
                  <c:v>72</c:v>
                </c:pt>
                <c:pt idx="4">
                  <c:v>85</c:v>
                </c:pt>
                <c:pt idx="5">
                  <c:v>70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C-4918-892E-E0FD3DE16DF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90</c:v>
                </c:pt>
                <c:pt idx="1">
                  <c:v>75</c:v>
                </c:pt>
                <c:pt idx="2">
                  <c:v>95</c:v>
                </c:pt>
                <c:pt idx="3">
                  <c:v>68</c:v>
                </c:pt>
                <c:pt idx="4">
                  <c:v>82</c:v>
                </c:pt>
                <c:pt idx="5">
                  <c:v>78</c:v>
                </c:pt>
                <c:pt idx="6">
                  <c:v>93</c:v>
                </c:pt>
                <c:pt idx="7">
                  <c:v>70</c:v>
                </c:pt>
                <c:pt idx="8">
                  <c:v>86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C-4918-892E-E0FD3DE16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41520"/>
        <c:axId val="1082940080"/>
      </c:barChart>
      <c:catAx>
        <c:axId val="10829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0080"/>
        <c:crosses val="autoZero"/>
        <c:auto val="1"/>
        <c:lblAlgn val="ctr"/>
        <c:lblOffset val="100"/>
        <c:noMultiLvlLbl val="0"/>
      </c:catAx>
      <c:valAx>
        <c:axId val="10829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20192054306466"/>
          <c:y val="0.20388170055452867"/>
          <c:w val="0.7702505560298939"/>
          <c:h val="0.56076236773545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14000</c:v>
                </c:pt>
                <c:pt idx="4">
                  <c:v>22000</c:v>
                </c:pt>
                <c:pt idx="5">
                  <c:v>25000</c:v>
                </c:pt>
                <c:pt idx="6">
                  <c:v>23000</c:v>
                </c:pt>
                <c:pt idx="7">
                  <c:v>27000</c:v>
                </c:pt>
                <c:pt idx="8">
                  <c:v>30000</c:v>
                </c:pt>
                <c:pt idx="9">
                  <c:v>28000</c:v>
                </c:pt>
                <c:pt idx="10">
                  <c:v>32000</c:v>
                </c:pt>
                <c:pt idx="11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2-4946-A8FC-AA6ACF3E9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589760"/>
        <c:axId val="1184593120"/>
      </c:barChart>
      <c:catAx>
        <c:axId val="118458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3120"/>
        <c:crosses val="autoZero"/>
        <c:auto val="1"/>
        <c:lblAlgn val="ctr"/>
        <c:lblOffset val="100"/>
        <c:noMultiLvlLbl val="0"/>
      </c:catAx>
      <c:valAx>
        <c:axId val="118459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8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14000</c:v>
                </c:pt>
                <c:pt idx="4">
                  <c:v>22000</c:v>
                </c:pt>
                <c:pt idx="5">
                  <c:v>25000</c:v>
                </c:pt>
                <c:pt idx="6">
                  <c:v>23000</c:v>
                </c:pt>
                <c:pt idx="7">
                  <c:v>27000</c:v>
                </c:pt>
                <c:pt idx="8">
                  <c:v>30000</c:v>
                </c:pt>
                <c:pt idx="9">
                  <c:v>28000</c:v>
                </c:pt>
                <c:pt idx="10">
                  <c:v>32000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6-40F6-BE04-519BB930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595520"/>
        <c:axId val="1184599840"/>
      </c:lineChart>
      <c:catAx>
        <c:axId val="118459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840"/>
        <c:crosses val="autoZero"/>
        <c:auto val="1"/>
        <c:lblAlgn val="ctr"/>
        <c:lblOffset val="100"/>
        <c:noMultiLvlLbl val="0"/>
      </c:catAx>
      <c:valAx>
        <c:axId val="11845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55-443F-93F0-7A0F3038DA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55-443F-93F0-7A0F3038DA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55-443F-93F0-7A0F3038DA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55-443F-93F0-7A0F3038DA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55-443F-93F0-7A0F3038DA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55-443F-93F0-7A0F3038DA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55-443F-93F0-7A0F3038DA0B}"/>
              </c:ext>
            </c:extLst>
          </c:dPt>
          <c:cat>
            <c:strRef>
              <c:f>Sheet2!$B$4:$B$10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7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14000</c:v>
                </c:pt>
                <c:pt idx="4">
                  <c:v>22000</c:v>
                </c:pt>
                <c:pt idx="5">
                  <c:v>25000</c:v>
                </c:pt>
                <c:pt idx="6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3-480B-BB4C-345B7AAA7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655320</xdr:colOff>
      <xdr:row>1</xdr:row>
      <xdr:rowOff>99060</xdr:rowOff>
    </xdr:from>
    <xdr:to>
      <xdr:col>8</xdr:col>
      <xdr:colOff>518160</xdr:colOff>
      <xdr:row>14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F53D69-8CC9-709B-E85B-ACCB32259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213360</xdr:colOff>
      <xdr:row>17</xdr:row>
      <xdr:rowOff>60960</xdr:rowOff>
    </xdr:from>
    <xdr:to>
      <xdr:col>10</xdr:col>
      <xdr:colOff>464820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8D5EE7-DDBB-B337-D07B-10DFA878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320040</xdr:colOff>
      <xdr:row>1</xdr:row>
      <xdr:rowOff>118110</xdr:rowOff>
    </xdr:from>
    <xdr:to>
      <xdr:col>15</xdr:col>
      <xdr:colOff>76200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99CE0-63D0-BAE2-5EB4-B8B921348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2</xdr:row>
      <xdr:rowOff>95250</xdr:rowOff>
    </xdr:from>
    <xdr:to>
      <xdr:col>8</xdr:col>
      <xdr:colOff>220980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EAC12-F199-08CF-CFB6-A74C8B0FB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3</xdr:row>
      <xdr:rowOff>11430</xdr:rowOff>
    </xdr:from>
    <xdr:to>
      <xdr:col>13</xdr:col>
      <xdr:colOff>579120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A0863-4B72-9972-2B9E-CF0297F12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312420</xdr:colOff>
      <xdr:row>14</xdr:row>
      <xdr:rowOff>80010</xdr:rowOff>
    </xdr:from>
    <xdr:to>
      <xdr:col>7</xdr:col>
      <xdr:colOff>586740</xdr:colOff>
      <xdr:row>24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260CE4-C8BE-3904-96FB-8D9D32286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BAF69-97D5-40CF-A15E-061A932B0807}" name="Table1" displayName="Table1" ref="A1:D11" totalsRowShown="0" headerRowDxfId="9" dataDxfId="8">
  <autoFilter ref="A1:D11" xr:uid="{F07BAF69-97D5-40CF-A15E-061A932B0807}"/>
  <tableColumns count="4">
    <tableColumn id="1" xr3:uid="{5B168CBF-C1C5-4976-A403-746D62CFC2DF}" name="Student" dataDxfId="7"/>
    <tableColumn id="2" xr3:uid="{CBCBD267-900A-4DA0-B5AA-E74505B195D8}" name="Math" dataDxfId="6"/>
    <tableColumn id="3" xr3:uid="{8B13FA82-B75F-4156-B5C1-54A4F11F8A4F}" name="Science" dataDxfId="5"/>
    <tableColumn id="4" xr3:uid="{2620BEF8-099D-4AFA-98E3-D098281B6A1D}" name="English" dataDxfId="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139F0-D45C-460D-AE6A-3F3BEF628C1F}" name="Table2" displayName="Table2" ref="B13:D18" totalsRowShown="0" headerRowDxfId="3">
  <autoFilter ref="B13:D18" xr:uid="{5BA139F0-D45C-460D-AE6A-3F3BEF628C1F}"/>
  <tableColumns count="3">
    <tableColumn id="1" xr3:uid="{03BA2528-BEAF-4F12-AAE3-21BF1D9337D7}" name="average of maths"/>
    <tableColumn id="2" xr3:uid="{87529DCD-10C1-4823-A8DC-2B3F8F6BD0E9}" name="average of science"/>
    <tableColumn id="3" xr3:uid="{99497312-1241-478E-814C-604A9CB41110}" name="average of english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9FDBB-7288-4F49-8471-7C5F76E29A58}" name="Table3" displayName="Table3" ref="A20:B28" totalsRowShown="0" dataDxfId="2">
  <autoFilter ref="A20:B28" xr:uid="{8E59FDBB-7288-4F49-8471-7C5F76E29A58}"/>
  <tableColumns count="2">
    <tableColumn id="1" xr3:uid="{C5E4A470-7A2E-4037-8D86-E360C4CBEFC2}" name="OBSERVATIONS" dataDxfId="1"/>
    <tableColumn id="2" xr3:uid="{62C2A42F-4C57-4966-B950-B84616B33650}" name="Priya and Meena achieved the highest overall scores. Most students scored between 70 and 90 marks. English and Mathematics showed strong performance across the clas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0F01-DEFF-4DB5-ACB2-9E2B98DF0043}">
  <dimension ref="A1:H28"/>
  <sheetViews>
    <sheetView zoomScale="70" workbookViewId="0">
      <selection activeCell="B20" sqref="B20"/>
    </sheetView>
  </sheetViews>
  <sheetFormatPr defaultRowHeight="14.4" x14ac:dyDescent="0.3"/>
  <cols>
    <col min="1" max="1" width="22.44140625" customWidth="1"/>
    <col min="2" max="2" width="17.44140625" customWidth="1"/>
    <col min="3" max="3" width="18.33203125" customWidth="1"/>
    <col min="4" max="4" width="18.109375" customWidth="1"/>
    <col min="5" max="8" width="10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85</v>
      </c>
      <c r="C2" s="2">
        <v>78</v>
      </c>
      <c r="D2" s="2">
        <v>90</v>
      </c>
    </row>
    <row r="3" spans="1:4" x14ac:dyDescent="0.3">
      <c r="A3" s="2" t="s">
        <v>5</v>
      </c>
      <c r="B3" s="2">
        <v>70</v>
      </c>
      <c r="C3" s="2">
        <v>65</v>
      </c>
      <c r="D3" s="2">
        <v>75</v>
      </c>
    </row>
    <row r="4" spans="1:4" x14ac:dyDescent="0.3">
      <c r="A4" s="2" t="s">
        <v>6</v>
      </c>
      <c r="B4" s="2">
        <v>92</v>
      </c>
      <c r="C4" s="2">
        <v>88</v>
      </c>
      <c r="D4" s="2">
        <v>95</v>
      </c>
    </row>
    <row r="5" spans="1:4" x14ac:dyDescent="0.3">
      <c r="A5" s="2" t="s">
        <v>7</v>
      </c>
      <c r="B5" s="2">
        <v>60</v>
      </c>
      <c r="C5" s="2">
        <v>72</v>
      </c>
      <c r="D5" s="2">
        <v>68</v>
      </c>
    </row>
    <row r="6" spans="1:4" x14ac:dyDescent="0.3">
      <c r="A6" s="2" t="s">
        <v>8</v>
      </c>
      <c r="B6" s="2">
        <v>80</v>
      </c>
      <c r="C6" s="2">
        <v>85</v>
      </c>
      <c r="D6" s="2">
        <v>82</v>
      </c>
    </row>
    <row r="7" spans="1:4" x14ac:dyDescent="0.3">
      <c r="A7" s="2" t="s">
        <v>9</v>
      </c>
      <c r="B7" s="2">
        <v>75</v>
      </c>
      <c r="C7" s="2">
        <v>70</v>
      </c>
      <c r="D7" s="2">
        <v>78</v>
      </c>
    </row>
    <row r="8" spans="1:4" x14ac:dyDescent="0.3">
      <c r="A8" s="2" t="s">
        <v>10</v>
      </c>
      <c r="B8" s="2">
        <v>95</v>
      </c>
      <c r="C8" s="2">
        <v>90</v>
      </c>
      <c r="D8" s="2">
        <v>93</v>
      </c>
    </row>
    <row r="9" spans="1:4" x14ac:dyDescent="0.3">
      <c r="A9" s="2" t="s">
        <v>11</v>
      </c>
      <c r="B9" s="2">
        <v>68</v>
      </c>
      <c r="C9" s="2">
        <v>74</v>
      </c>
      <c r="D9" s="2">
        <v>70</v>
      </c>
    </row>
    <row r="10" spans="1:4" x14ac:dyDescent="0.3">
      <c r="A10" s="2" t="s">
        <v>12</v>
      </c>
      <c r="B10" s="2">
        <v>88</v>
      </c>
      <c r="C10" s="2">
        <v>82</v>
      </c>
      <c r="D10" s="2">
        <v>86</v>
      </c>
    </row>
    <row r="11" spans="1:4" x14ac:dyDescent="0.3">
      <c r="A11" s="2" t="s">
        <v>13</v>
      </c>
      <c r="B11" s="2">
        <v>72</v>
      </c>
      <c r="C11" s="2">
        <v>76</v>
      </c>
      <c r="D11" s="2">
        <v>80</v>
      </c>
    </row>
    <row r="12" spans="1:4" x14ac:dyDescent="0.3">
      <c r="A12" s="1"/>
      <c r="B12" s="1"/>
      <c r="C12" s="1"/>
      <c r="D12" s="1"/>
    </row>
    <row r="13" spans="1:4" ht="28.8" x14ac:dyDescent="0.3">
      <c r="A13" s="2"/>
      <c r="B13" s="2" t="s">
        <v>21</v>
      </c>
      <c r="C13" s="2" t="s">
        <v>16</v>
      </c>
      <c r="D13" s="2" t="s">
        <v>15</v>
      </c>
    </row>
    <row r="14" spans="1:4" x14ac:dyDescent="0.3">
      <c r="A14" s="2"/>
      <c r="B14">
        <f>MIN(Table1[Math])</f>
        <v>60</v>
      </c>
      <c r="C14">
        <f>AVERAGE(C2:C11)</f>
        <v>78</v>
      </c>
      <c r="D14">
        <f>AVERAGE(D2:D11)</f>
        <v>81.7</v>
      </c>
    </row>
    <row r="15" spans="1:4" x14ac:dyDescent="0.3">
      <c r="A15" s="2"/>
      <c r="B15" t="s">
        <v>22</v>
      </c>
      <c r="C15" t="s">
        <v>17</v>
      </c>
      <c r="D15" t="s">
        <v>20</v>
      </c>
    </row>
    <row r="16" spans="1:4" x14ac:dyDescent="0.3">
      <c r="B16">
        <f>MAX(Table1[Math])</f>
        <v>95</v>
      </c>
      <c r="C16">
        <f>MAX(C2:C11)</f>
        <v>90</v>
      </c>
      <c r="D16">
        <f>MAX(D2:D11)</f>
        <v>95</v>
      </c>
    </row>
    <row r="17" spans="1:8" x14ac:dyDescent="0.3">
      <c r="B17" t="s">
        <v>14</v>
      </c>
      <c r="C17" t="s">
        <v>18</v>
      </c>
      <c r="D17" t="s">
        <v>19</v>
      </c>
    </row>
    <row r="18" spans="1:8" x14ac:dyDescent="0.3">
      <c r="B18">
        <f>AVERAGE(Table1[Math])</f>
        <v>78.5</v>
      </c>
      <c r="C18">
        <f>MIN(C2:C11)</f>
        <v>65</v>
      </c>
      <c r="D18">
        <f>MIN(D2:D11)</f>
        <v>68</v>
      </c>
    </row>
    <row r="20" spans="1:8" x14ac:dyDescent="0.3">
      <c r="A20" t="s">
        <v>23</v>
      </c>
      <c r="B20" t="s">
        <v>30</v>
      </c>
    </row>
    <row r="21" spans="1:8" x14ac:dyDescent="0.3">
      <c r="A21" s="3" t="s">
        <v>24</v>
      </c>
      <c r="B21" s="3"/>
      <c r="C21" s="3"/>
      <c r="D21" s="3"/>
      <c r="E21" s="3"/>
      <c r="F21" s="3"/>
      <c r="G21" s="3"/>
      <c r="H21" s="3"/>
    </row>
    <row r="22" spans="1:8" x14ac:dyDescent="0.3">
      <c r="A22" s="3" t="s">
        <v>25</v>
      </c>
      <c r="B22" s="3"/>
      <c r="C22" s="3"/>
      <c r="D22" s="3"/>
      <c r="E22" s="3"/>
      <c r="F22" s="3"/>
      <c r="G22" s="3"/>
      <c r="H22" s="3"/>
    </row>
    <row r="23" spans="1:8" x14ac:dyDescent="0.3">
      <c r="A23" s="3" t="s">
        <v>26</v>
      </c>
      <c r="B23" s="3"/>
      <c r="C23" s="3"/>
      <c r="D23" s="3"/>
      <c r="E23" s="3"/>
      <c r="F23" s="3"/>
      <c r="G23" s="3"/>
      <c r="H23" s="3"/>
    </row>
    <row r="24" spans="1:8" x14ac:dyDescent="0.3">
      <c r="A24" s="3" t="s">
        <v>27</v>
      </c>
      <c r="B24" s="3"/>
      <c r="C24" s="3"/>
      <c r="D24" s="3"/>
      <c r="E24" s="3"/>
      <c r="F24" s="3"/>
      <c r="G24" s="3"/>
      <c r="H24" s="3"/>
    </row>
    <row r="25" spans="1:8" x14ac:dyDescent="0.3">
      <c r="A25" s="3" t="s">
        <v>28</v>
      </c>
      <c r="B25" s="3"/>
      <c r="C25" s="3"/>
      <c r="D25" s="3"/>
      <c r="E25" s="3"/>
      <c r="F25" s="3"/>
      <c r="G25" s="3"/>
      <c r="H25" s="3"/>
    </row>
    <row r="26" spans="1:8" x14ac:dyDescent="0.3">
      <c r="A26" s="3" t="s">
        <v>29</v>
      </c>
      <c r="B26" s="3"/>
      <c r="C26" s="3"/>
      <c r="D26" s="3"/>
      <c r="E26" s="3"/>
      <c r="F26" s="3"/>
      <c r="G26" s="3"/>
      <c r="H26" s="3"/>
    </row>
    <row r="27" spans="1:8" x14ac:dyDescent="0.3">
      <c r="B27" s="3"/>
    </row>
    <row r="28" spans="1:8" x14ac:dyDescent="0.3">
      <c r="B28" s="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156A-D50F-416B-ABBF-D08EF6616008}">
  <dimension ref="A2:C22"/>
  <sheetViews>
    <sheetView tabSelected="1" workbookViewId="0">
      <selection activeCell="C18" sqref="C18"/>
    </sheetView>
  </sheetViews>
  <sheetFormatPr defaultRowHeight="14.4" x14ac:dyDescent="0.3"/>
  <cols>
    <col min="1" max="1" width="17.44140625" customWidth="1"/>
  </cols>
  <sheetData>
    <row r="2" spans="2:3" x14ac:dyDescent="0.3">
      <c r="B2" s="1" t="s">
        <v>31</v>
      </c>
    </row>
    <row r="3" spans="2:3" x14ac:dyDescent="0.3">
      <c r="B3" s="1" t="s">
        <v>31</v>
      </c>
      <c r="C3" s="1" t="s">
        <v>32</v>
      </c>
    </row>
    <row r="4" spans="2:3" x14ac:dyDescent="0.3">
      <c r="B4" s="2" t="s">
        <v>33</v>
      </c>
      <c r="C4" s="2">
        <v>12000</v>
      </c>
    </row>
    <row r="5" spans="2:3" x14ac:dyDescent="0.3">
      <c r="B5" s="2" t="s">
        <v>34</v>
      </c>
      <c r="C5" s="2">
        <v>15000</v>
      </c>
    </row>
    <row r="6" spans="2:3" x14ac:dyDescent="0.3">
      <c r="B6" s="2" t="s">
        <v>35</v>
      </c>
      <c r="C6" s="2">
        <v>18000</v>
      </c>
    </row>
    <row r="7" spans="2:3" x14ac:dyDescent="0.3">
      <c r="B7" s="2" t="s">
        <v>36</v>
      </c>
      <c r="C7" s="2">
        <v>14000</v>
      </c>
    </row>
    <row r="8" spans="2:3" x14ac:dyDescent="0.3">
      <c r="B8" s="2" t="s">
        <v>37</v>
      </c>
      <c r="C8" s="2">
        <v>22000</v>
      </c>
    </row>
    <row r="9" spans="2:3" x14ac:dyDescent="0.3">
      <c r="B9" s="2" t="s">
        <v>38</v>
      </c>
      <c r="C9" s="2">
        <v>25000</v>
      </c>
    </row>
    <row r="10" spans="2:3" x14ac:dyDescent="0.3">
      <c r="B10" s="2" t="s">
        <v>39</v>
      </c>
      <c r="C10" s="2">
        <v>23000</v>
      </c>
    </row>
    <row r="11" spans="2:3" x14ac:dyDescent="0.3">
      <c r="B11" s="2" t="s">
        <v>40</v>
      </c>
      <c r="C11" s="2">
        <v>27000</v>
      </c>
    </row>
    <row r="12" spans="2:3" x14ac:dyDescent="0.3">
      <c r="B12" s="2" t="s">
        <v>41</v>
      </c>
      <c r="C12" s="2">
        <v>30000</v>
      </c>
    </row>
    <row r="13" spans="2:3" x14ac:dyDescent="0.3">
      <c r="B13" s="2" t="s">
        <v>42</v>
      </c>
      <c r="C13" s="2">
        <v>28000</v>
      </c>
    </row>
    <row r="14" spans="2:3" x14ac:dyDescent="0.3">
      <c r="B14" s="2" t="s">
        <v>43</v>
      </c>
      <c r="C14" s="2">
        <v>32000</v>
      </c>
    </row>
    <row r="15" spans="2:3" x14ac:dyDescent="0.3">
      <c r="B15" s="2" t="s">
        <v>44</v>
      </c>
      <c r="C15" s="2">
        <v>35000</v>
      </c>
    </row>
    <row r="19" spans="1:2" x14ac:dyDescent="0.3">
      <c r="A19" t="s">
        <v>46</v>
      </c>
      <c r="B19">
        <f>SUM(C4:C15)</f>
        <v>281000</v>
      </c>
    </row>
    <row r="20" spans="1:2" x14ac:dyDescent="0.3">
      <c r="A20" t="s">
        <v>45</v>
      </c>
      <c r="B20">
        <f>AVERAGE(C4:C15)</f>
        <v>23416.666666666668</v>
      </c>
    </row>
    <row r="21" spans="1:2" x14ac:dyDescent="0.3">
      <c r="A21" t="s">
        <v>47</v>
      </c>
      <c r="B21">
        <f>MAX(C4:C15)</f>
        <v>35000</v>
      </c>
    </row>
    <row r="22" spans="1:2" x14ac:dyDescent="0.3">
      <c r="A22" t="s">
        <v>48</v>
      </c>
      <c r="B22">
        <f>MIN(C4:C15)</f>
        <v>12000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Siddiqua</dc:creator>
  <cp:lastModifiedBy>Ayesha Siddiqua</cp:lastModifiedBy>
  <dcterms:created xsi:type="dcterms:W3CDTF">2026-06-16T15:59:16Z</dcterms:created>
  <dcterms:modified xsi:type="dcterms:W3CDTF">2026-06-23T09:14:31Z</dcterms:modified>
</cp:coreProperties>
</file>